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07" windowHeight="8055" activeTab="2"/>
  </bookViews>
  <sheets>
    <sheet name="期货排程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<sst xmlns="http://schemas.openxmlformats.org/spreadsheetml/2006/main" count="330" uniqueCount="160">
  <si>
    <t>合同日期</t>
  </si>
  <si>
    <t>客户</t>
  </si>
  <si>
    <t>訂單號碼</t>
  </si>
  <si>
    <t>產品規格</t>
  </si>
  <si>
    <t>鍍層</t>
  </si>
  <si>
    <t>用途</t>
  </si>
  <si>
    <t>厚度</t>
  </si>
  <si>
    <t>寬度</t>
  </si>
  <si>
    <t>重量</t>
  </si>
  <si>
    <t>面漆</t>
  </si>
  <si>
    <t>膜厚</t>
  </si>
  <si>
    <t>背漆</t>
  </si>
  <si>
    <t>日期</t>
  </si>
  <si>
    <t>投料</t>
  </si>
  <si>
    <t>暫留</t>
  </si>
  <si>
    <t>重整</t>
  </si>
  <si>
    <t>包裝</t>
  </si>
  <si>
    <t>庫存</t>
  </si>
  <si>
    <t>已交運</t>
  </si>
  <si>
    <t>客戶</t>
  </si>
  <si>
    <t>无锡晟明</t>
  </si>
  <si>
    <t>L3KS0M802</t>
  </si>
  <si>
    <t>A755MLCSBT</t>
  </si>
  <si>
    <t>AZM100</t>
  </si>
  <si>
    <t>KB9G</t>
  </si>
  <si>
    <t>C8FW</t>
  </si>
  <si>
    <t>D8UY</t>
  </si>
  <si>
    <t>實需95，總厚0.5，總米數23600-23800</t>
  </si>
  <si>
    <t>珂奕新能源</t>
  </si>
  <si>
    <t>0P466</t>
  </si>
  <si>
    <t>PE</t>
  </si>
  <si>
    <t>EP</t>
  </si>
  <si>
    <t>A031:厚度AIM:厚度-0.036mm(訂單厚度含烤漆塗膜厚度, 正背面加總膜厚36um適用);T002:厚度公差:+/-0.03</t>
  </si>
  <si>
    <t>L3KS0M803</t>
  </si>
  <si>
    <t>AZM150</t>
  </si>
  <si>
    <t>C171</t>
  </si>
  <si>
    <t>B8UW</t>
  </si>
  <si>
    <t>實需3.5，總厚0.6，總米數800-900</t>
  </si>
  <si>
    <t>PVDF</t>
  </si>
  <si>
    <t>A034:厚度AIM:厚度-0.039mm(訂單厚度含烤漆塗膜厚度, 正背面加總膜厚39um適用);T002:厚度公差:+/-0.03</t>
  </si>
  <si>
    <t>L3KS0M804</t>
  </si>
  <si>
    <t>C8MG</t>
  </si>
  <si>
    <t>實需120，總厚0.6，總米數22000-22200</t>
  </si>
  <si>
    <t>L3KS0N601</t>
  </si>
  <si>
    <t>C9RB</t>
  </si>
  <si>
    <t>實需29，總厚0.6，總米數5300-5500</t>
  </si>
  <si>
    <t>湖州久立</t>
  </si>
  <si>
    <t>L3KS0M806</t>
  </si>
  <si>
    <t>KB1E</t>
  </si>
  <si>
    <t>CS05</t>
  </si>
  <si>
    <t>C8C0</t>
  </si>
  <si>
    <t>實需165，總厚0.6，總米數36800-37000</t>
  </si>
  <si>
    <t>無錫派鑫</t>
  </si>
  <si>
    <t>A047:厚度AIM:厚度-0.045mm(訂單厚度含烤漆塗膜厚度, 正背面加總膜厚45um適用);T002:厚度公差:+/-0.03</t>
  </si>
  <si>
    <t>洛阳汇成</t>
  </si>
  <si>
    <t>L3KS0P701</t>
  </si>
  <si>
    <t>LK/J-G1T</t>
  </si>
  <si>
    <t>AM150</t>
  </si>
  <si>
    <t>C91M</t>
  </si>
  <si>
    <t>實需80，總厚0.6，總米數18100-18300</t>
  </si>
  <si>
    <t>汝陽金環</t>
  </si>
  <si>
    <t>A064:厚度AIM:厚度-0.035mm(訂單厚度含烤漆塗膜厚度, 正背面加總膜厚35um適用);T002:厚度公差:+/-0.03</t>
  </si>
  <si>
    <t>贺信-景欣国际</t>
  </si>
  <si>
    <t>L3KS0M813</t>
  </si>
  <si>
    <t>A755M/L550</t>
  </si>
  <si>
    <t>AZM200</t>
  </si>
  <si>
    <t>D52U</t>
  </si>
  <si>
    <t>C81P</t>
  </si>
  <si>
    <t>實需300，烤漆前厚0.5，單捲重不超8噸</t>
  </si>
  <si>
    <t>孟加拉廠房</t>
  </si>
  <si>
    <t>SMP</t>
  </si>
  <si>
    <t>T002:厚度公差:+/-0.03</t>
  </si>
  <si>
    <t>上海业辉</t>
  </si>
  <si>
    <t>L3KS0S304</t>
  </si>
  <si>
    <t>E346K/LD51</t>
  </si>
  <si>
    <t>AZ100</t>
  </si>
  <si>
    <t>C9DM</t>
  </si>
  <si>
    <t>出口單，實需23-25，單捲重不超4.5</t>
  </si>
  <si>
    <t>出口單</t>
  </si>
  <si>
    <t>0P613</t>
  </si>
  <si>
    <t>訂單編號</t>
  </si>
  <si>
    <t>鋅花</t>
  </si>
  <si>
    <t>調質</t>
  </si>
  <si>
    <t>鈍化</t>
  </si>
  <si>
    <t>塗油</t>
  </si>
  <si>
    <t>訂購量</t>
  </si>
  <si>
    <t>排程日期</t>
  </si>
  <si>
    <t>產出量</t>
  </si>
  <si>
    <t>交運量</t>
  </si>
  <si>
    <t>下限</t>
  </si>
  <si>
    <t>上限</t>
  </si>
  <si>
    <t>工程案名</t>
  </si>
  <si>
    <t>特殊要求代碼及敘述</t>
  </si>
  <si>
    <t>L3GS25001</t>
  </si>
  <si>
    <t>A792M/S550</t>
  </si>
  <si>
    <t>R</t>
  </si>
  <si>
    <t>X</t>
  </si>
  <si>
    <t>F</t>
  </si>
  <si>
    <t>屋頂/邊牆</t>
  </si>
  <si>
    <t>钱旸</t>
  </si>
  <si>
    <t>L3GS22001</t>
  </si>
  <si>
    <t>E346G/GD51</t>
  </si>
  <si>
    <t>Z275</t>
  </si>
  <si>
    <t>Z</t>
  </si>
  <si>
    <t>S</t>
  </si>
  <si>
    <t>G</t>
  </si>
  <si>
    <t>電氣箱(環保-流通)</t>
  </si>
  <si>
    <t>吾朴</t>
  </si>
  <si>
    <t>L3GS1Y105</t>
  </si>
  <si>
    <t>Z140</t>
  </si>
  <si>
    <t>威圖</t>
  </si>
  <si>
    <t>電氣箱(環保-一般)</t>
  </si>
  <si>
    <t>A003:厚度AIM:冷軋底材厚度AIM-4%</t>
  </si>
  <si>
    <t>L3GS1Y302</t>
  </si>
  <si>
    <t>E346G/MD51</t>
  </si>
  <si>
    <t>ZM140</t>
  </si>
  <si>
    <t>M</t>
  </si>
  <si>
    <t>卓明</t>
  </si>
  <si>
    <t>L3GS25201</t>
  </si>
  <si>
    <t>Z600</t>
  </si>
  <si>
    <t>配線架/線槽（環保）</t>
  </si>
  <si>
    <t>L3GS25202</t>
  </si>
  <si>
    <t>Z500</t>
  </si>
  <si>
    <t>程亮</t>
  </si>
  <si>
    <t>L3GS22004</t>
  </si>
  <si>
    <t>Z80</t>
  </si>
  <si>
    <t>L3GS22006</t>
  </si>
  <si>
    <t>L3GS22007</t>
  </si>
  <si>
    <t>L3GS27001</t>
  </si>
  <si>
    <t>L3GS27002</t>
  </si>
  <si>
    <t>L3GS27003</t>
  </si>
  <si>
    <t>Z120</t>
  </si>
  <si>
    <t>亿轩</t>
  </si>
  <si>
    <t>L3GS27602</t>
  </si>
  <si>
    <t>Z300</t>
  </si>
  <si>
    <t>L3GS27603</t>
  </si>
  <si>
    <t>贻裕</t>
  </si>
  <si>
    <t>L3GS2A207</t>
  </si>
  <si>
    <t>L3GS2A208</t>
  </si>
  <si>
    <t>L3GS2F902</t>
  </si>
  <si>
    <t>E346G/G350</t>
  </si>
  <si>
    <t>Z180</t>
  </si>
  <si>
    <t>A004:厚度AIM:冷軋底材厚度AIM-2%</t>
  </si>
  <si>
    <t>客户名称</t>
  </si>
  <si>
    <t>鋼捲編號</t>
  </si>
  <si>
    <t>訂單厚度</t>
  </si>
  <si>
    <t>訂單寬度</t>
  </si>
  <si>
    <t>出料實測長度</t>
  </si>
  <si>
    <t>毛重</t>
  </si>
  <si>
    <t>鍍層代號</t>
  </si>
  <si>
    <t>正面漆/紋路色碼</t>
  </si>
  <si>
    <t>倉別</t>
  </si>
  <si>
    <t>移撥日期</t>
  </si>
  <si>
    <t>入庫日期</t>
  </si>
  <si>
    <t>出料實測厚度</t>
  </si>
  <si>
    <t>出料實測寬度</t>
  </si>
  <si>
    <t>鈍化處理</t>
  </si>
  <si>
    <t>正面膜厚</t>
  </si>
  <si>
    <t>背面漆色碼</t>
  </si>
  <si>
    <t>背面膜厚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</si>
</sst>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</numFmts>
  <fonts count="47">
    <font>
      <sz val="11"/>
      <color theme="1"/>
      <name val="宋体"/>
      <charset val="134"/>
      <scheme val="minor"/>
    </font>
    <font>
      <sz val="12"/>
      <color theme="1"/>
      <name val="宋体"/>
      <charset val="136"/>
      <scheme val="minor"/>
    </font>
    <font>
      <sz val="10"/>
      <color theme="1"/>
      <name val="細明體"/>
      <charset val="134"/>
    </font>
    <font>
      <u/>
      <sz val="10"/>
      <color theme="1"/>
      <name val="細明體"/>
      <charset val="134"/>
    </font>
    <font>
      <b/>
      <sz val="10"/>
      <color theme="1"/>
      <name val="細明體"/>
      <charset val="134"/>
    </font>
    <font>
      <sz val="10"/>
      <color rgb="FF0000FF"/>
      <name val="細明體"/>
      <charset val="134"/>
    </font>
    <font>
      <u/>
      <sz val="10"/>
      <color rgb="FF9900CC"/>
      <name val="細明體"/>
      <charset val="134"/>
    </font>
    <font>
      <sz val="10"/>
      <color rgb="FFFF0000"/>
      <name val="新細明體"/>
      <charset val="134"/>
    </font>
    <font>
      <sz val="10"/>
      <color rgb="FF0000FF"/>
      <name val="新細明體"/>
      <charset val="134"/>
    </font>
    <font>
      <sz val="9"/>
      <color rgb="FFFF0000"/>
      <name val="細明體"/>
      <charset val="134"/>
    </font>
    <font>
      <sz val="10"/>
      <color rgb="FF317B29"/>
      <name val="細明體"/>
      <charset val="134"/>
    </font>
    <font>
      <sz val="10"/>
      <color rgb="FFFF0000"/>
      <name val="細明體"/>
      <charset val="134"/>
    </font>
    <font>
      <sz val="10"/>
      <color rgb="FF7030A0"/>
      <name val="細明體"/>
      <charset val="134"/>
    </font>
    <font>
      <b/>
      <sz val="10"/>
      <color rgb="FF0000FF"/>
      <name val="細明體"/>
      <charset val="134"/>
    </font>
    <font>
      <b/>
      <u/>
      <sz val="10"/>
      <color rgb="FF9900CC"/>
      <name val="細明體"/>
      <charset val="134"/>
    </font>
    <font>
      <b/>
      <sz val="10"/>
      <color rgb="FFFF0000"/>
      <name val="新細明體"/>
      <charset val="134"/>
    </font>
    <font>
      <b/>
      <sz val="10"/>
      <color rgb="FF0000FF"/>
      <name val="新細明體"/>
      <charset val="134"/>
    </font>
    <font>
      <b/>
      <sz val="9"/>
      <color rgb="FFFF0000"/>
      <name val="細明體"/>
      <charset val="134"/>
    </font>
    <font>
      <b/>
      <sz val="10"/>
      <color rgb="FF317B29"/>
      <name val="細明體"/>
      <charset val="134"/>
    </font>
    <font>
      <b/>
      <sz val="10"/>
      <color rgb="FFFF0000"/>
      <name val="細明體"/>
      <charset val="134"/>
    </font>
    <font>
      <b/>
      <sz val="10"/>
      <color rgb="FF7030A0"/>
      <name val="細明體"/>
      <charset val="134"/>
    </font>
    <font>
      <sz val="10"/>
      <name val="細明體"/>
      <charset val="134"/>
    </font>
    <font>
      <b/>
      <sz val="12"/>
      <color theme="1"/>
      <name val="宋体"/>
      <charset val="134"/>
      <scheme val="major"/>
    </font>
    <font>
      <b/>
      <sz val="12"/>
      <color rgb="FFC00000"/>
      <name val="宋体"/>
      <charset val="134"/>
      <scheme val="major"/>
    </font>
    <font>
      <b/>
      <sz val="12"/>
      <name val="宋体"/>
      <charset val="134"/>
      <scheme val="major"/>
    </font>
    <font>
      <sz val="12"/>
      <name val="新細明體"/>
      <charset val="134"/>
    </font>
    <font>
      <b/>
      <sz val="12"/>
      <color rgb="FFC00000"/>
      <name val="新細明體"/>
      <charset val="134"/>
    </font>
    <font>
      <b/>
      <sz val="12"/>
      <name val="新細明體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-0.2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0" fillId="8" borderId="3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3" fillId="0" borderId="4">
      <alignment vertical="center"/>
    </xf>
    <xf numFmtId="0" fontId="34" fillId="0" borderId="4">
      <alignment vertical="center"/>
    </xf>
    <xf numFmtId="0" fontId="35" fillId="0" borderId="5">
      <alignment vertical="center"/>
    </xf>
    <xf numFmtId="0" fontId="35" fillId="0" borderId="0">
      <alignment vertical="center"/>
    </xf>
    <xf numFmtId="0" fontId="36" fillId="9" borderId="6">
      <alignment vertical="center"/>
    </xf>
    <xf numFmtId="0" fontId="37" fillId="10" borderId="7">
      <alignment vertical="center"/>
    </xf>
    <xf numFmtId="0" fontId="38" fillId="10" borderId="6">
      <alignment vertical="center"/>
    </xf>
    <xf numFmtId="0" fontId="39" fillId="11" borderId="8">
      <alignment vertical="center"/>
    </xf>
    <xf numFmtId="0" fontId="40" fillId="0" borderId="9">
      <alignment vertical="center"/>
    </xf>
    <xf numFmtId="0" fontId="41" fillId="0" borderId="10">
      <alignment vertical="center"/>
    </xf>
    <xf numFmtId="0" fontId="42" fillId="12" borderId="0">
      <alignment vertical="center"/>
    </xf>
    <xf numFmtId="0" fontId="43" fillId="13" borderId="0">
      <alignment vertical="center"/>
    </xf>
    <xf numFmtId="0" fontId="44" fillId="14" borderId="0">
      <alignment vertical="center"/>
    </xf>
    <xf numFmtId="0" fontId="45" fillId="15" borderId="0">
      <alignment vertical="center"/>
    </xf>
    <xf numFmtId="0" fontId="46" fillId="16" borderId="0">
      <alignment vertical="center"/>
    </xf>
    <xf numFmtId="0" fontId="46" fillId="17" borderId="0">
      <alignment vertical="center"/>
    </xf>
    <xf numFmtId="0" fontId="45" fillId="18" borderId="0">
      <alignment vertical="center"/>
    </xf>
    <xf numFmtId="0" fontId="45" fillId="19" borderId="0">
      <alignment vertical="center"/>
    </xf>
    <xf numFmtId="0" fontId="46" fillId="20" borderId="0">
      <alignment vertical="center"/>
    </xf>
    <xf numFmtId="0" fontId="46" fillId="21" borderId="0">
      <alignment vertical="center"/>
    </xf>
    <xf numFmtId="0" fontId="45" fillId="22" borderId="0">
      <alignment vertical="center"/>
    </xf>
    <xf numFmtId="0" fontId="45" fillId="23" borderId="0">
      <alignment vertical="center"/>
    </xf>
    <xf numFmtId="0" fontId="46" fillId="24" borderId="0">
      <alignment vertical="center"/>
    </xf>
    <xf numFmtId="0" fontId="46" fillId="25" borderId="0">
      <alignment vertical="center"/>
    </xf>
    <xf numFmtId="0" fontId="45" fillId="26" borderId="0">
      <alignment vertical="center"/>
    </xf>
    <xf numFmtId="0" fontId="45" fillId="27" borderId="0">
      <alignment vertical="center"/>
    </xf>
    <xf numFmtId="0" fontId="46" fillId="28" borderId="0">
      <alignment vertical="center"/>
    </xf>
    <xf numFmtId="0" fontId="46" fillId="29" borderId="0">
      <alignment vertical="center"/>
    </xf>
    <xf numFmtId="0" fontId="45" fillId="30" borderId="0">
      <alignment vertical="center"/>
    </xf>
    <xf numFmtId="0" fontId="45" fillId="31" borderId="0">
      <alignment vertical="center"/>
    </xf>
    <xf numFmtId="0" fontId="46" fillId="32" borderId="0">
      <alignment vertical="center"/>
    </xf>
    <xf numFmtId="0" fontId="46" fillId="33" borderId="0">
      <alignment vertical="center"/>
    </xf>
    <xf numFmtId="0" fontId="45" fillId="34" borderId="0">
      <alignment vertical="center"/>
    </xf>
    <xf numFmtId="0" fontId="45" fillId="35" borderId="0">
      <alignment vertical="center"/>
    </xf>
    <xf numFmtId="0" fontId="46" fillId="36" borderId="0">
      <alignment vertical="center"/>
    </xf>
    <xf numFmtId="0" fontId="46" fillId="37" borderId="0">
      <alignment vertical="center"/>
    </xf>
    <xf numFmtId="0" fontId="45" fillId="38" borderId="0">
      <alignment vertical="center"/>
    </xf>
  </cellStyleXfs>
  <cellXfs count="74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left" vertical="center" wrapText="1"/>
    </xf>
    <xf numFmtId="14" fontId="0" fillId="0" borderId="1" xfId="0" applyNumberForma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center" vertical="center"/>
    </xf>
    <xf numFmtId="0" fontId="22" fillId="0" borderId="2" xfId="0" applyNumberFormat="1" applyFont="1" applyFill="1" applyBorder="1" applyAlignment="1">
      <alignment horizontal="center" vertical="center" wrapText="1"/>
    </xf>
    <xf numFmtId="0" fontId="22" fillId="0" borderId="2" xfId="0" applyFont="1" applyFill="1" applyBorder="1" applyAlignment="1">
      <alignment horizontal="center" vertical="center" wrapText="1"/>
    </xf>
    <xf numFmtId="0" fontId="23" fillId="0" borderId="2" xfId="0" applyNumberFormat="1" applyFont="1" applyFill="1" applyBorder="1" applyAlignment="1">
      <alignment horizontal="center" vertical="center" wrapText="1"/>
    </xf>
    <xf numFmtId="0" fontId="24" fillId="3" borderId="2" xfId="0" applyNumberFormat="1" applyFont="1" applyFill="1" applyBorder="1" applyAlignment="1">
      <alignment horizontal="center" vertical="center" wrapText="1"/>
    </xf>
    <xf numFmtId="0" fontId="24" fillId="4" borderId="2" xfId="0" applyNumberFormat="1" applyFont="1" applyFill="1" applyBorder="1" applyAlignment="1">
      <alignment horizontal="center" vertical="center" wrapText="1"/>
    </xf>
    <xf numFmtId="0" fontId="24" fillId="5" borderId="2" xfId="0" applyNumberFormat="1" applyFont="1" applyFill="1" applyBorder="1" applyAlignment="1">
      <alignment horizontal="center" vertical="center" wrapText="1"/>
    </xf>
    <xf numFmtId="0" fontId="22" fillId="0" borderId="2" xfId="0" applyFont="1" applyFill="1" applyBorder="1" applyAlignment="1">
      <alignment horizontal="left" vertical="center" wrapText="1"/>
    </xf>
    <xf numFmtId="0" fontId="25" fillId="6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176" fontId="25" fillId="6" borderId="1" xfId="0" applyNumberFormat="1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left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176" fontId="25" fillId="3" borderId="1" xfId="0" applyNumberFormat="1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left" vertical="center"/>
    </xf>
    <xf numFmtId="0" fontId="25" fillId="7" borderId="1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176" fontId="25" fillId="7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9"/>
  <sheetViews>
    <sheetView topLeftCell="A7" workbookViewId="0">
      <selection activeCell="L12" sqref="L12"/>
    </sheetView>
  </sheetViews>
  <sheetFormatPr defaultColWidth="9" defaultRowHeight="13.5"/>
  <cols>
    <col min="1" max="1" width="10.5929203539823"/>
    <col min="2" max="2" width="16.2035398230088" customWidth="1"/>
    <col min="3" max="3" width="11.2212389380531" customWidth="1"/>
    <col min="4" max="4" width="12.1504424778761" customWidth="1"/>
  </cols>
  <sheetData>
    <row r="1" s="2" customFormat="1" ht="16.9" customHeight="1" spans="1:4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5" t="s">
        <v>10</v>
      </c>
      <c r="N1" s="7" t="s">
        <v>12</v>
      </c>
      <c r="O1" s="8" t="s">
        <v>13</v>
      </c>
      <c r="P1" s="8" t="s">
        <v>14</v>
      </c>
      <c r="Q1" s="8" t="s">
        <v>15</v>
      </c>
      <c r="R1" s="9" t="s">
        <v>16</v>
      </c>
      <c r="S1" s="10" t="s">
        <v>17</v>
      </c>
      <c r="T1" s="11" t="s">
        <v>18</v>
      </c>
      <c r="U1" s="12"/>
      <c r="V1" s="13" t="s">
        <v>19</v>
      </c>
      <c r="W1" s="14"/>
      <c r="X1" s="15"/>
      <c r="Y1" s="15"/>
      <c r="Z1" s="6"/>
      <c r="AA1" s="6"/>
      <c r="AB1" s="16"/>
    </row>
    <row r="2" s="2" customFormat="1" ht="16.9" customHeight="1" spans="1:43">
      <c r="A2" s="17">
        <v>46113</v>
      </c>
      <c r="B2" s="5" t="s">
        <v>20</v>
      </c>
      <c r="C2" s="5" t="s">
        <v>21</v>
      </c>
      <c r="D2" s="5" t="s">
        <v>22</v>
      </c>
      <c r="E2" s="5" t="s">
        <v>23</v>
      </c>
      <c r="F2" s="5" t="s">
        <v>24</v>
      </c>
      <c r="G2" s="5">
        <v>0.5</v>
      </c>
      <c r="H2" s="5">
        <v>1070</v>
      </c>
      <c r="I2" s="6">
        <v>95</v>
      </c>
      <c r="J2" s="5" t="s">
        <v>25</v>
      </c>
      <c r="K2" s="5">
        <v>25</v>
      </c>
      <c r="L2" s="5" t="s">
        <v>26</v>
      </c>
      <c r="M2" s="5">
        <v>11</v>
      </c>
      <c r="N2" s="7">
        <v>46139</v>
      </c>
      <c r="O2" s="8">
        <v>4.5</v>
      </c>
      <c r="P2" s="8"/>
      <c r="Q2" s="8"/>
      <c r="R2" s="9"/>
      <c r="S2" s="10"/>
      <c r="T2" s="11"/>
      <c r="U2" s="12" t="s">
        <v>27</v>
      </c>
      <c r="V2" s="18" t="s">
        <v>28</v>
      </c>
      <c r="W2" s="14" t="s">
        <v>29</v>
      </c>
      <c r="X2" s="15">
        <v>3</v>
      </c>
      <c r="Y2" s="15">
        <v>4.5</v>
      </c>
      <c r="Z2" s="6" t="s">
        <v>30</v>
      </c>
      <c r="AA2" s="6" t="s">
        <v>31</v>
      </c>
      <c r="AB2" s="16" t="s">
        <v>32</v>
      </c>
    </row>
    <row r="3" s="3" customFormat="1" ht="16.9" customHeight="1" spans="1:43">
      <c r="A3" s="17">
        <v>46113</v>
      </c>
      <c r="B3" s="5" t="s">
        <v>20</v>
      </c>
      <c r="C3" s="5" t="s">
        <v>33</v>
      </c>
      <c r="D3" s="5" t="s">
        <v>22</v>
      </c>
      <c r="E3" s="5" t="s">
        <v>34</v>
      </c>
      <c r="F3" s="5" t="s">
        <v>24</v>
      </c>
      <c r="G3" s="5">
        <v>0.6</v>
      </c>
      <c r="H3" s="5">
        <v>1000</v>
      </c>
      <c r="I3" s="6">
        <v>5</v>
      </c>
      <c r="J3" s="5" t="s">
        <v>35</v>
      </c>
      <c r="K3" s="5">
        <v>25</v>
      </c>
      <c r="L3" s="5" t="s">
        <v>36</v>
      </c>
      <c r="M3" s="5">
        <v>11</v>
      </c>
      <c r="N3" s="7"/>
      <c r="O3" s="8"/>
      <c r="P3" s="19"/>
      <c r="Q3" s="19"/>
      <c r="R3" s="9"/>
      <c r="S3" s="10">
        <v>3.84</v>
      </c>
      <c r="T3" s="11"/>
      <c r="U3" s="12" t="s">
        <v>37</v>
      </c>
      <c r="V3" s="18" t="s">
        <v>28</v>
      </c>
      <c r="W3" s="14" t="s">
        <v>29</v>
      </c>
      <c r="X3" s="15">
        <v>3</v>
      </c>
      <c r="Y3" s="15">
        <v>4.5</v>
      </c>
      <c r="Z3" s="6" t="s">
        <v>38</v>
      </c>
      <c r="AA3" s="6" t="s">
        <v>31</v>
      </c>
      <c r="AB3" s="16" t="s">
        <v>39</v>
      </c>
    </row>
    <row r="4" s="2" customFormat="1" ht="16.9" customHeight="1" spans="1:43">
      <c r="A4" s="17">
        <v>46113</v>
      </c>
      <c r="B4" s="5" t="s">
        <v>20</v>
      </c>
      <c r="C4" s="5" t="s">
        <v>40</v>
      </c>
      <c r="D4" s="5" t="s">
        <v>22</v>
      </c>
      <c r="E4" s="5" t="s">
        <v>34</v>
      </c>
      <c r="F4" s="5" t="s">
        <v>24</v>
      </c>
      <c r="G4" s="5">
        <v>0.6</v>
      </c>
      <c r="H4" s="5">
        <v>1200</v>
      </c>
      <c r="I4" s="6">
        <v>120</v>
      </c>
      <c r="J4" s="5" t="s">
        <v>41</v>
      </c>
      <c r="K4" s="5">
        <v>25</v>
      </c>
      <c r="L4" s="5" t="s">
        <v>36</v>
      </c>
      <c r="M4" s="5">
        <v>11</v>
      </c>
      <c r="N4" s="7"/>
      <c r="O4" s="8"/>
      <c r="P4" s="8"/>
      <c r="Q4" s="8"/>
      <c r="R4" s="9"/>
      <c r="S4" s="10">
        <v>114.425</v>
      </c>
      <c r="T4" s="11"/>
      <c r="U4" s="12" t="s">
        <v>42</v>
      </c>
      <c r="V4" s="18" t="s">
        <v>28</v>
      </c>
      <c r="W4" s="14" t="s">
        <v>29</v>
      </c>
      <c r="X4" s="15">
        <v>3</v>
      </c>
      <c r="Y4" s="15">
        <v>4.5</v>
      </c>
      <c r="Z4" s="6" t="s">
        <v>38</v>
      </c>
      <c r="AA4" s="6" t="s">
        <v>31</v>
      </c>
      <c r="AB4" s="16" t="s">
        <v>39</v>
      </c>
    </row>
    <row r="5" s="2" customFormat="1" ht="16.9" customHeight="1" spans="1:43">
      <c r="A5" s="17">
        <v>46113</v>
      </c>
      <c r="B5" s="5" t="s">
        <v>20</v>
      </c>
      <c r="C5" s="5" t="s">
        <v>43</v>
      </c>
      <c r="D5" s="5" t="s">
        <v>22</v>
      </c>
      <c r="E5" s="5" t="s">
        <v>34</v>
      </c>
      <c r="F5" s="5" t="s">
        <v>24</v>
      </c>
      <c r="G5" s="5">
        <v>0.6</v>
      </c>
      <c r="H5" s="5">
        <v>1200</v>
      </c>
      <c r="I5" s="6">
        <v>30</v>
      </c>
      <c r="J5" s="5" t="s">
        <v>44</v>
      </c>
      <c r="K5" s="5">
        <v>25</v>
      </c>
      <c r="L5" s="5" t="s">
        <v>36</v>
      </c>
      <c r="M5" s="5">
        <v>11</v>
      </c>
      <c r="N5" s="7"/>
      <c r="O5" s="8"/>
      <c r="P5" s="8"/>
      <c r="Q5" s="8"/>
      <c r="R5" s="9"/>
      <c r="S5" s="10">
        <v>29.21</v>
      </c>
      <c r="T5" s="11"/>
      <c r="U5" s="12" t="s">
        <v>45</v>
      </c>
      <c r="V5" s="18" t="s">
        <v>28</v>
      </c>
      <c r="W5" s="14" t="s">
        <v>29</v>
      </c>
      <c r="X5" s="15">
        <v>3</v>
      </c>
      <c r="Y5" s="15">
        <v>4.5</v>
      </c>
      <c r="Z5" s="6" t="s">
        <v>38</v>
      </c>
      <c r="AA5" s="6" t="s">
        <v>31</v>
      </c>
      <c r="AB5" s="16" t="s">
        <v>39</v>
      </c>
    </row>
    <row r="6" s="2" customFormat="1" ht="16.9" customHeight="1" spans="1:43">
      <c r="A6" s="17">
        <v>46120</v>
      </c>
      <c r="B6" s="5" t="s">
        <v>46</v>
      </c>
      <c r="C6" s="5" t="s">
        <v>47</v>
      </c>
      <c r="D6" s="5" t="s">
        <v>22</v>
      </c>
      <c r="E6" s="5" t="s">
        <v>34</v>
      </c>
      <c r="F6" s="5" t="s">
        <v>48</v>
      </c>
      <c r="G6" s="5">
        <v>0.6</v>
      </c>
      <c r="H6" s="5">
        <v>1000</v>
      </c>
      <c r="I6" s="6">
        <v>165</v>
      </c>
      <c r="J6" s="5" t="s">
        <v>49</v>
      </c>
      <c r="K6" s="5">
        <v>20</v>
      </c>
      <c r="L6" s="5" t="s">
        <v>50</v>
      </c>
      <c r="M6" s="5">
        <v>15</v>
      </c>
      <c r="N6" s="7"/>
      <c r="O6" s="8"/>
      <c r="P6" s="8"/>
      <c r="Q6" s="8"/>
      <c r="R6" s="9"/>
      <c r="S6" s="10">
        <v>156.36</v>
      </c>
      <c r="T6" s="11"/>
      <c r="U6" s="12" t="s">
        <v>51</v>
      </c>
      <c r="V6" s="18" t="s">
        <v>52</v>
      </c>
      <c r="W6" s="14" t="s">
        <v>29</v>
      </c>
      <c r="X6" s="15">
        <v>3</v>
      </c>
      <c r="Y6" s="15">
        <v>5</v>
      </c>
      <c r="Z6" s="6" t="s">
        <v>38</v>
      </c>
      <c r="AA6" s="6" t="s">
        <v>38</v>
      </c>
      <c r="AB6" s="16" t="s">
        <v>53</v>
      </c>
    </row>
    <row r="7" s="4" customFormat="1" ht="16.9" customHeight="1" spans="1:43">
      <c r="A7" s="20">
        <v>46121</v>
      </c>
      <c r="B7" s="5" t="s">
        <v>54</v>
      </c>
      <c r="C7" s="21" t="s">
        <v>55</v>
      </c>
      <c r="D7" s="21" t="s">
        <v>56</v>
      </c>
      <c r="E7" s="21" t="s">
        <v>57</v>
      </c>
      <c r="F7" s="21" t="s">
        <v>48</v>
      </c>
      <c r="G7" s="21">
        <v>0.6</v>
      </c>
      <c r="H7" s="21">
        <v>1000</v>
      </c>
      <c r="I7" s="22">
        <v>80</v>
      </c>
      <c r="J7" s="21" t="s">
        <v>58</v>
      </c>
      <c r="K7" s="21">
        <v>25</v>
      </c>
      <c r="L7" s="21" t="s">
        <v>26</v>
      </c>
      <c r="M7" s="21">
        <v>10</v>
      </c>
      <c r="N7" s="7"/>
      <c r="O7" s="23"/>
      <c r="P7" s="23">
        <v>4.38</v>
      </c>
      <c r="Q7" s="23"/>
      <c r="R7" s="24"/>
      <c r="S7" s="10">
        <v>37.1</v>
      </c>
      <c r="T7" s="11">
        <v>36.44</v>
      </c>
      <c r="U7" s="12" t="s">
        <v>59</v>
      </c>
      <c r="V7" s="18" t="s">
        <v>60</v>
      </c>
      <c r="W7" s="14" t="s">
        <v>29</v>
      </c>
      <c r="X7" s="15">
        <v>3</v>
      </c>
      <c r="Y7" s="15">
        <v>5</v>
      </c>
      <c r="Z7" s="6" t="s">
        <v>30</v>
      </c>
      <c r="AA7" s="6" t="s">
        <v>31</v>
      </c>
      <c r="AB7" s="16" t="s">
        <v>61</v>
      </c>
    </row>
    <row r="8" s="4" customFormat="1" ht="16.9" customHeight="1" spans="1:43">
      <c r="A8" s="20">
        <v>46126</v>
      </c>
      <c r="B8" s="5" t="s">
        <v>62</v>
      </c>
      <c r="C8" s="21" t="s">
        <v>63</v>
      </c>
      <c r="D8" s="21" t="s">
        <v>64</v>
      </c>
      <c r="E8" s="21" t="s">
        <v>65</v>
      </c>
      <c r="F8" s="21" t="s">
        <v>48</v>
      </c>
      <c r="G8" s="21">
        <v>0.5</v>
      </c>
      <c r="H8" s="21">
        <v>1250</v>
      </c>
      <c r="I8" s="22">
        <v>300</v>
      </c>
      <c r="J8" s="21" t="s">
        <v>66</v>
      </c>
      <c r="K8" s="21">
        <v>25</v>
      </c>
      <c r="L8" s="21" t="s">
        <v>67</v>
      </c>
      <c r="M8" s="21">
        <v>11</v>
      </c>
      <c r="N8" s="25"/>
      <c r="O8" s="23">
        <v>297.23</v>
      </c>
      <c r="P8" s="23"/>
      <c r="Q8" s="23"/>
      <c r="R8" s="24"/>
      <c r="S8" s="26"/>
      <c r="T8" s="27"/>
      <c r="U8" s="28" t="s">
        <v>68</v>
      </c>
      <c r="V8" s="29" t="s">
        <v>69</v>
      </c>
      <c r="W8" s="30" t="s">
        <v>29</v>
      </c>
      <c r="X8" s="31">
        <v>6</v>
      </c>
      <c r="Y8" s="31">
        <v>8</v>
      </c>
      <c r="Z8" s="22" t="s">
        <v>70</v>
      </c>
      <c r="AA8" s="22" t="s">
        <v>30</v>
      </c>
      <c r="AB8" s="32" t="s">
        <v>71</v>
      </c>
    </row>
    <row r="9" ht="16" customHeight="1" spans="1:43">
      <c r="A9" s="33">
        <v>46132</v>
      </c>
      <c r="B9" s="5" t="s">
        <v>72</v>
      </c>
      <c r="C9" s="34" t="s">
        <v>73</v>
      </c>
      <c r="D9" s="34" t="s">
        <v>74</v>
      </c>
      <c r="E9" s="34" t="s">
        <v>75</v>
      </c>
      <c r="F9" s="34" t="s">
        <v>48</v>
      </c>
      <c r="G9" s="34">
        <v>0.476</v>
      </c>
      <c r="H9" s="34">
        <v>1000</v>
      </c>
      <c r="I9" s="35">
        <v>25</v>
      </c>
      <c r="J9" s="34" t="s">
        <v>76</v>
      </c>
      <c r="K9" s="34">
        <v>25</v>
      </c>
      <c r="L9" s="34" t="s">
        <v>26</v>
      </c>
      <c r="M9" s="34">
        <v>11</v>
      </c>
      <c r="N9" s="36">
        <v>46144</v>
      </c>
      <c r="O9" s="37">
        <f>I9</f>
        <v>25</v>
      </c>
      <c r="P9" s="37"/>
      <c r="Q9" s="37"/>
      <c r="R9" s="38"/>
      <c r="S9" s="39"/>
      <c r="T9" s="40"/>
      <c r="U9" s="41" t="s">
        <v>77</v>
      </c>
      <c r="V9" s="42" t="s">
        <v>78</v>
      </c>
      <c r="W9" s="43" t="s">
        <v>79</v>
      </c>
      <c r="X9" s="44">
        <v>3</v>
      </c>
      <c r="Y9" s="44">
        <v>5</v>
      </c>
      <c r="Z9" s="35" t="s">
        <v>30</v>
      </c>
      <c r="AA9" s="35" t="s">
        <v>31</v>
      </c>
      <c r="AB9" s="45" t="s">
        <v>71</v>
      </c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</row>
    <row r="12" ht="26" customHeight="1" spans="1:43">
      <c r="A12" s="5" t="s">
        <v>0</v>
      </c>
      <c r="B12" s="5" t="s">
        <v>1</v>
      </c>
      <c r="C12" s="47" t="s">
        <v>80</v>
      </c>
      <c r="D12" s="47" t="s">
        <v>3</v>
      </c>
      <c r="E12" s="47" t="s">
        <v>4</v>
      </c>
      <c r="F12" s="47" t="s">
        <v>81</v>
      </c>
      <c r="G12" s="48" t="s">
        <v>82</v>
      </c>
      <c r="H12" s="47" t="s">
        <v>83</v>
      </c>
      <c r="I12" s="47" t="s">
        <v>84</v>
      </c>
      <c r="J12" s="47" t="s">
        <v>6</v>
      </c>
      <c r="K12" s="47" t="s">
        <v>7</v>
      </c>
      <c r="L12" s="49" t="s">
        <v>85</v>
      </c>
      <c r="M12" s="50" t="s">
        <v>86</v>
      </c>
      <c r="N12" s="50" t="s">
        <v>13</v>
      </c>
      <c r="O12" s="50" t="s">
        <v>14</v>
      </c>
      <c r="P12" s="50" t="s">
        <v>15</v>
      </c>
      <c r="Q12" s="50" t="s">
        <v>16</v>
      </c>
      <c r="R12" s="50" t="s">
        <v>17</v>
      </c>
      <c r="S12" s="51" t="s">
        <v>87</v>
      </c>
      <c r="T12" s="52" t="s">
        <v>88</v>
      </c>
      <c r="U12" s="48" t="s">
        <v>89</v>
      </c>
      <c r="V12" s="48" t="s">
        <v>90</v>
      </c>
      <c r="W12" s="47" t="s">
        <v>91</v>
      </c>
      <c r="X12" s="48" t="s">
        <v>5</v>
      </c>
      <c r="Y12" s="53" t="s">
        <v>92</v>
      </c>
    </row>
    <row r="13" ht="19" customHeight="1" spans="1:43">
      <c r="A13" s="20">
        <v>46126</v>
      </c>
      <c r="B13" s="21" t="s">
        <v>62</v>
      </c>
      <c r="C13" s="54" t="s">
        <v>93</v>
      </c>
      <c r="D13" s="55" t="s">
        <v>94</v>
      </c>
      <c r="E13" s="55" t="s">
        <v>65</v>
      </c>
      <c r="F13" s="55" t="s">
        <v>95</v>
      </c>
      <c r="G13" s="55" t="s">
        <v>96</v>
      </c>
      <c r="H13" s="55" t="s">
        <v>97</v>
      </c>
      <c r="I13" s="55" t="s">
        <v>96</v>
      </c>
      <c r="J13" s="55">
        <v>0.5</v>
      </c>
      <c r="K13" s="55">
        <v>1250</v>
      </c>
      <c r="L13" s="56">
        <v>200</v>
      </c>
      <c r="M13" s="57"/>
      <c r="N13" s="54"/>
      <c r="O13" s="54"/>
      <c r="P13" s="54"/>
      <c r="Q13" s="54"/>
      <c r="R13" s="54">
        <v>197</v>
      </c>
      <c r="S13" s="58">
        <v>197</v>
      </c>
      <c r="T13" s="58"/>
      <c r="U13" s="55">
        <v>6</v>
      </c>
      <c r="V13" s="55">
        <v>8</v>
      </c>
      <c r="W13" s="54" t="s">
        <v>69</v>
      </c>
      <c r="X13" s="55" t="s">
        <v>98</v>
      </c>
      <c r="Y13" s="59"/>
    </row>
    <row r="14" ht="15.75" spans="1:43">
      <c r="A14" s="60">
        <v>46121</v>
      </c>
      <c r="B14" s="61" t="s">
        <v>99</v>
      </c>
      <c r="C14" s="62" t="s">
        <v>100</v>
      </c>
      <c r="D14" s="63" t="s">
        <v>101</v>
      </c>
      <c r="E14" s="63" t="s">
        <v>102</v>
      </c>
      <c r="F14" s="63" t="s">
        <v>103</v>
      </c>
      <c r="G14" s="62" t="s">
        <v>104</v>
      </c>
      <c r="H14" s="63" t="s">
        <v>105</v>
      </c>
      <c r="I14" s="63" t="s">
        <v>96</v>
      </c>
      <c r="J14" s="63">
        <v>2.3</v>
      </c>
      <c r="K14" s="63">
        <v>1000</v>
      </c>
      <c r="L14" s="64">
        <v>20</v>
      </c>
      <c r="M14" s="65"/>
      <c r="N14" s="66"/>
      <c r="O14" s="66"/>
      <c r="P14" s="66"/>
      <c r="Q14" s="66"/>
      <c r="R14" s="66">
        <v>21.63</v>
      </c>
      <c r="S14" s="67">
        <v>21.63</v>
      </c>
      <c r="T14" s="68"/>
      <c r="U14" s="63">
        <v>9</v>
      </c>
      <c r="V14" s="63">
        <v>13</v>
      </c>
      <c r="W14" s="63"/>
      <c r="X14" s="63" t="s">
        <v>106</v>
      </c>
      <c r="Y14" s="69"/>
    </row>
    <row r="15" ht="15.75" spans="1:43">
      <c r="A15" s="60">
        <v>46126</v>
      </c>
      <c r="B15" s="61" t="s">
        <v>107</v>
      </c>
      <c r="C15" s="62" t="s">
        <v>108</v>
      </c>
      <c r="D15" s="63" t="s">
        <v>101</v>
      </c>
      <c r="E15" s="63" t="s">
        <v>109</v>
      </c>
      <c r="F15" s="63" t="s">
        <v>103</v>
      </c>
      <c r="G15" s="62" t="s">
        <v>104</v>
      </c>
      <c r="H15" s="63" t="s">
        <v>105</v>
      </c>
      <c r="I15" s="63" t="s">
        <v>96</v>
      </c>
      <c r="J15" s="63">
        <v>3</v>
      </c>
      <c r="K15" s="63">
        <v>1185</v>
      </c>
      <c r="L15" s="64">
        <v>75</v>
      </c>
      <c r="M15" s="65">
        <v>46146.0082315878</v>
      </c>
      <c r="N15" s="66">
        <v>38</v>
      </c>
      <c r="O15" s="66"/>
      <c r="P15" s="66"/>
      <c r="Q15" s="66"/>
      <c r="R15" s="66"/>
      <c r="S15" s="67"/>
      <c r="T15" s="68">
        <v>37.55</v>
      </c>
      <c r="U15" s="63">
        <v>9</v>
      </c>
      <c r="V15" s="63">
        <v>13</v>
      </c>
      <c r="W15" s="63" t="s">
        <v>110</v>
      </c>
      <c r="X15" s="63" t="s">
        <v>111</v>
      </c>
      <c r="Y15" s="69" t="s">
        <v>112</v>
      </c>
    </row>
    <row r="16" ht="15.75" spans="1:43">
      <c r="A16" s="60">
        <v>46126</v>
      </c>
      <c r="B16" s="61" t="s">
        <v>107</v>
      </c>
      <c r="C16" s="62" t="s">
        <v>113</v>
      </c>
      <c r="D16" s="63" t="s">
        <v>114</v>
      </c>
      <c r="E16" s="63" t="s">
        <v>115</v>
      </c>
      <c r="F16" s="63" t="s">
        <v>116</v>
      </c>
      <c r="G16" s="62" t="s">
        <v>104</v>
      </c>
      <c r="H16" s="63" t="s">
        <v>105</v>
      </c>
      <c r="I16" s="63" t="s">
        <v>96</v>
      </c>
      <c r="J16" s="63">
        <v>2</v>
      </c>
      <c r="K16" s="63">
        <v>1000</v>
      </c>
      <c r="L16" s="64">
        <v>20</v>
      </c>
      <c r="M16" s="65">
        <v>46151.0612652737</v>
      </c>
      <c r="N16" s="66">
        <v>22</v>
      </c>
      <c r="O16" s="66"/>
      <c r="P16" s="66"/>
      <c r="Q16" s="66"/>
      <c r="R16" s="66"/>
      <c r="S16" s="67"/>
      <c r="T16" s="68"/>
      <c r="U16" s="63">
        <v>6</v>
      </c>
      <c r="V16" s="63">
        <v>8</v>
      </c>
      <c r="W16" s="63"/>
      <c r="X16" s="63" t="s">
        <v>111</v>
      </c>
      <c r="Y16" s="69"/>
    </row>
    <row r="17" ht="15.75" spans="1:25">
      <c r="A17" s="60">
        <v>46128</v>
      </c>
      <c r="B17" s="61" t="s">
        <v>117</v>
      </c>
      <c r="C17" s="62" t="s">
        <v>118</v>
      </c>
      <c r="D17" s="63" t="s">
        <v>101</v>
      </c>
      <c r="E17" s="63" t="s">
        <v>119</v>
      </c>
      <c r="F17" s="63" t="s">
        <v>103</v>
      </c>
      <c r="G17" s="63" t="s">
        <v>96</v>
      </c>
      <c r="H17" s="63" t="s">
        <v>105</v>
      </c>
      <c r="I17" s="63" t="s">
        <v>96</v>
      </c>
      <c r="J17" s="63">
        <v>2</v>
      </c>
      <c r="K17" s="63">
        <v>1250</v>
      </c>
      <c r="L17" s="64">
        <v>25</v>
      </c>
      <c r="M17" s="65"/>
      <c r="N17" s="66"/>
      <c r="O17" s="66"/>
      <c r="P17" s="66"/>
      <c r="Q17" s="66">
        <v>7.92</v>
      </c>
      <c r="R17" s="66">
        <v>15.81</v>
      </c>
      <c r="S17" s="67">
        <v>23.73</v>
      </c>
      <c r="T17" s="68"/>
      <c r="U17" s="63">
        <v>7</v>
      </c>
      <c r="V17" s="63">
        <v>9</v>
      </c>
      <c r="W17" s="63"/>
      <c r="X17" s="63" t="s">
        <v>120</v>
      </c>
      <c r="Y17" s="69"/>
    </row>
    <row r="18" ht="15.75" spans="1:25">
      <c r="A18" s="60">
        <v>46128</v>
      </c>
      <c r="B18" s="61" t="s">
        <v>117</v>
      </c>
      <c r="C18" s="62" t="s">
        <v>121</v>
      </c>
      <c r="D18" s="63" t="s">
        <v>101</v>
      </c>
      <c r="E18" s="63" t="s">
        <v>122</v>
      </c>
      <c r="F18" s="63" t="s">
        <v>103</v>
      </c>
      <c r="G18" s="63" t="s">
        <v>96</v>
      </c>
      <c r="H18" s="63" t="s">
        <v>105</v>
      </c>
      <c r="I18" s="63" t="s">
        <v>96</v>
      </c>
      <c r="J18" s="63">
        <v>1.5</v>
      </c>
      <c r="K18" s="63">
        <v>1250</v>
      </c>
      <c r="L18" s="64">
        <v>25</v>
      </c>
      <c r="M18" s="65"/>
      <c r="N18" s="66"/>
      <c r="O18" s="66"/>
      <c r="P18" s="66"/>
      <c r="Q18" s="66"/>
      <c r="R18" s="66">
        <v>19.1</v>
      </c>
      <c r="S18" s="67">
        <v>19.1</v>
      </c>
      <c r="T18" s="68"/>
      <c r="U18" s="63">
        <v>7</v>
      </c>
      <c r="V18" s="63">
        <v>9</v>
      </c>
      <c r="W18" s="63"/>
      <c r="X18" s="63" t="s">
        <v>120</v>
      </c>
      <c r="Y18" s="69"/>
    </row>
    <row r="19" ht="15.75" spans="1:25">
      <c r="A19" s="60">
        <v>46128</v>
      </c>
      <c r="B19" s="61" t="s">
        <v>123</v>
      </c>
      <c r="C19" s="70" t="s">
        <v>124</v>
      </c>
      <c r="D19" s="71" t="s">
        <v>101</v>
      </c>
      <c r="E19" s="71" t="s">
        <v>125</v>
      </c>
      <c r="F19" s="71" t="s">
        <v>103</v>
      </c>
      <c r="G19" s="70" t="s">
        <v>104</v>
      </c>
      <c r="H19" s="71" t="s">
        <v>105</v>
      </c>
      <c r="I19" s="71" t="s">
        <v>96</v>
      </c>
      <c r="J19" s="71">
        <v>2.5</v>
      </c>
      <c r="K19" s="71">
        <v>1500</v>
      </c>
      <c r="L19" s="72">
        <v>50</v>
      </c>
      <c r="M19" s="65"/>
      <c r="N19" s="66"/>
      <c r="O19" s="66"/>
      <c r="P19" s="66"/>
      <c r="Q19" s="66"/>
      <c r="R19" s="66">
        <v>12.48</v>
      </c>
      <c r="S19" s="67">
        <v>47.745</v>
      </c>
      <c r="T19" s="68">
        <v>35.265</v>
      </c>
      <c r="U19" s="63">
        <v>10</v>
      </c>
      <c r="V19" s="63">
        <v>13</v>
      </c>
      <c r="W19" s="63"/>
      <c r="X19" s="63" t="s">
        <v>106</v>
      </c>
      <c r="Y19" s="69"/>
    </row>
    <row r="20" ht="15.75" spans="1:25">
      <c r="A20" s="60">
        <v>46128</v>
      </c>
      <c r="B20" s="61" t="s">
        <v>123</v>
      </c>
      <c r="C20" s="70" t="s">
        <v>126</v>
      </c>
      <c r="D20" s="71" t="s">
        <v>101</v>
      </c>
      <c r="E20" s="71" t="s">
        <v>125</v>
      </c>
      <c r="F20" s="71" t="s">
        <v>103</v>
      </c>
      <c r="G20" s="70" t="s">
        <v>104</v>
      </c>
      <c r="H20" s="71" t="s">
        <v>105</v>
      </c>
      <c r="I20" s="71" t="s">
        <v>96</v>
      </c>
      <c r="J20" s="71">
        <v>2.5</v>
      </c>
      <c r="K20" s="71">
        <v>1000</v>
      </c>
      <c r="L20" s="72">
        <v>25</v>
      </c>
      <c r="M20" s="65"/>
      <c r="N20" s="66"/>
      <c r="O20" s="66"/>
      <c r="P20" s="66"/>
      <c r="Q20" s="66"/>
      <c r="R20" s="66">
        <v>18.71</v>
      </c>
      <c r="S20" s="67">
        <v>18.71</v>
      </c>
      <c r="T20" s="68"/>
      <c r="U20" s="63">
        <v>9</v>
      </c>
      <c r="V20" s="63">
        <v>13</v>
      </c>
      <c r="W20" s="63"/>
      <c r="X20" s="63" t="s">
        <v>106</v>
      </c>
      <c r="Y20" s="69"/>
    </row>
    <row r="21" ht="15.75" spans="1:25">
      <c r="A21" s="60">
        <v>46129</v>
      </c>
      <c r="B21" s="61" t="s">
        <v>123</v>
      </c>
      <c r="C21" s="70" t="s">
        <v>127</v>
      </c>
      <c r="D21" s="71" t="s">
        <v>101</v>
      </c>
      <c r="E21" s="71" t="s">
        <v>125</v>
      </c>
      <c r="F21" s="71" t="s">
        <v>103</v>
      </c>
      <c r="G21" s="70" t="s">
        <v>104</v>
      </c>
      <c r="H21" s="71" t="s">
        <v>105</v>
      </c>
      <c r="I21" s="71" t="s">
        <v>96</v>
      </c>
      <c r="J21" s="71">
        <v>2.5</v>
      </c>
      <c r="K21" s="71">
        <v>1175</v>
      </c>
      <c r="L21" s="72">
        <v>25</v>
      </c>
      <c r="M21" s="65"/>
      <c r="N21" s="66"/>
      <c r="O21" s="66"/>
      <c r="P21" s="66"/>
      <c r="Q21" s="66"/>
      <c r="R21" s="66">
        <v>18.535</v>
      </c>
      <c r="S21" s="67">
        <v>18.535</v>
      </c>
      <c r="T21" s="68"/>
      <c r="U21" s="63">
        <v>9</v>
      </c>
      <c r="V21" s="63">
        <v>13</v>
      </c>
      <c r="W21" s="63"/>
      <c r="X21" s="63" t="s">
        <v>106</v>
      </c>
      <c r="Y21" s="69"/>
    </row>
    <row r="22" ht="15.75" spans="1:25">
      <c r="A22" s="60">
        <v>46129</v>
      </c>
      <c r="B22" s="61" t="s">
        <v>123</v>
      </c>
      <c r="C22" s="70" t="s">
        <v>128</v>
      </c>
      <c r="D22" s="71" t="s">
        <v>101</v>
      </c>
      <c r="E22" s="71" t="s">
        <v>125</v>
      </c>
      <c r="F22" s="71" t="s">
        <v>103</v>
      </c>
      <c r="G22" s="70" t="s">
        <v>104</v>
      </c>
      <c r="H22" s="71" t="s">
        <v>105</v>
      </c>
      <c r="I22" s="71" t="s">
        <v>96</v>
      </c>
      <c r="J22" s="71">
        <v>2.5</v>
      </c>
      <c r="K22" s="71">
        <v>1175</v>
      </c>
      <c r="L22" s="72">
        <v>25</v>
      </c>
      <c r="M22" s="73">
        <v>46149.0416467988</v>
      </c>
      <c r="N22" s="70">
        <v>23</v>
      </c>
      <c r="O22" s="66"/>
      <c r="P22" s="66"/>
      <c r="Q22" s="66"/>
      <c r="R22" s="66"/>
      <c r="S22" s="67"/>
      <c r="T22" s="68"/>
      <c r="U22" s="63">
        <v>9</v>
      </c>
      <c r="V22" s="63">
        <v>13</v>
      </c>
      <c r="W22" s="63"/>
      <c r="X22" s="63" t="s">
        <v>106</v>
      </c>
      <c r="Y22" s="69"/>
    </row>
    <row r="23" ht="15.75" spans="1:25">
      <c r="A23" s="60">
        <v>46129</v>
      </c>
      <c r="B23" s="61" t="s">
        <v>123</v>
      </c>
      <c r="C23" s="70" t="s">
        <v>129</v>
      </c>
      <c r="D23" s="71" t="s">
        <v>101</v>
      </c>
      <c r="E23" s="71" t="s">
        <v>125</v>
      </c>
      <c r="F23" s="71" t="s">
        <v>103</v>
      </c>
      <c r="G23" s="70" t="s">
        <v>104</v>
      </c>
      <c r="H23" s="71" t="s">
        <v>105</v>
      </c>
      <c r="I23" s="71" t="s">
        <v>96</v>
      </c>
      <c r="J23" s="71">
        <v>3</v>
      </c>
      <c r="K23" s="71">
        <v>1250</v>
      </c>
      <c r="L23" s="72">
        <v>25</v>
      </c>
      <c r="M23" s="65"/>
      <c r="N23" s="66"/>
      <c r="O23" s="66"/>
      <c r="P23" s="66"/>
      <c r="Q23" s="66"/>
      <c r="R23" s="66">
        <v>22.45</v>
      </c>
      <c r="S23" s="67">
        <v>22.45</v>
      </c>
      <c r="T23" s="68"/>
      <c r="U23" s="63">
        <v>7</v>
      </c>
      <c r="V23" s="63">
        <v>9</v>
      </c>
      <c r="W23" s="63"/>
      <c r="X23" s="63" t="s">
        <v>106</v>
      </c>
      <c r="Y23" s="69"/>
    </row>
    <row r="24" ht="15.75" spans="1:25">
      <c r="A24" s="60">
        <v>46129</v>
      </c>
      <c r="B24" s="61" t="s">
        <v>123</v>
      </c>
      <c r="C24" s="70" t="s">
        <v>130</v>
      </c>
      <c r="D24" s="71" t="s">
        <v>101</v>
      </c>
      <c r="E24" s="71" t="s">
        <v>131</v>
      </c>
      <c r="F24" s="71" t="s">
        <v>103</v>
      </c>
      <c r="G24" s="70" t="s">
        <v>104</v>
      </c>
      <c r="H24" s="71" t="s">
        <v>105</v>
      </c>
      <c r="I24" s="71" t="s">
        <v>96</v>
      </c>
      <c r="J24" s="71">
        <v>3</v>
      </c>
      <c r="K24" s="71">
        <v>1250</v>
      </c>
      <c r="L24" s="72">
        <v>25</v>
      </c>
      <c r="M24" s="65"/>
      <c r="N24" s="66"/>
      <c r="O24" s="66"/>
      <c r="P24" s="66"/>
      <c r="Q24" s="66"/>
      <c r="R24" s="66">
        <v>22.005</v>
      </c>
      <c r="S24" s="67">
        <v>22.005</v>
      </c>
      <c r="T24" s="68"/>
      <c r="U24" s="63">
        <v>10</v>
      </c>
      <c r="V24" s="63">
        <v>13</v>
      </c>
      <c r="W24" s="63"/>
      <c r="X24" s="63" t="s">
        <v>106</v>
      </c>
      <c r="Y24" s="69"/>
    </row>
    <row r="25" ht="15.75" spans="1:25">
      <c r="A25" s="60">
        <v>46129</v>
      </c>
      <c r="B25" s="61" t="s">
        <v>132</v>
      </c>
      <c r="C25" s="54" t="s">
        <v>133</v>
      </c>
      <c r="D25" s="55" t="s">
        <v>101</v>
      </c>
      <c r="E25" s="55" t="s">
        <v>134</v>
      </c>
      <c r="F25" s="55" t="s">
        <v>103</v>
      </c>
      <c r="G25" s="54" t="s">
        <v>104</v>
      </c>
      <c r="H25" s="55" t="s">
        <v>105</v>
      </c>
      <c r="I25" s="55" t="s">
        <v>96</v>
      </c>
      <c r="J25" s="55">
        <v>2.5</v>
      </c>
      <c r="K25" s="55">
        <v>1250</v>
      </c>
      <c r="L25" s="56">
        <v>25</v>
      </c>
      <c r="M25" s="57">
        <v>46145.0363214157</v>
      </c>
      <c r="N25" s="54">
        <v>23</v>
      </c>
      <c r="O25" s="54"/>
      <c r="P25" s="54"/>
      <c r="Q25" s="54"/>
      <c r="R25" s="54"/>
      <c r="S25" s="58"/>
      <c r="T25" s="58"/>
      <c r="U25" s="55">
        <v>10</v>
      </c>
      <c r="V25" s="55">
        <v>13</v>
      </c>
      <c r="W25" s="63"/>
      <c r="X25" s="63" t="s">
        <v>106</v>
      </c>
      <c r="Y25" s="69"/>
    </row>
    <row r="26" ht="15.75" spans="1:25">
      <c r="A26" s="60">
        <v>46129</v>
      </c>
      <c r="B26" s="61" t="s">
        <v>132</v>
      </c>
      <c r="C26" s="54" t="s">
        <v>135</v>
      </c>
      <c r="D26" s="55" t="s">
        <v>101</v>
      </c>
      <c r="E26" s="55" t="s">
        <v>134</v>
      </c>
      <c r="F26" s="55" t="s">
        <v>103</v>
      </c>
      <c r="G26" s="54" t="s">
        <v>104</v>
      </c>
      <c r="H26" s="55" t="s">
        <v>105</v>
      </c>
      <c r="I26" s="55" t="s">
        <v>96</v>
      </c>
      <c r="J26" s="55">
        <v>3</v>
      </c>
      <c r="K26" s="55">
        <v>1250</v>
      </c>
      <c r="L26" s="56">
        <v>25</v>
      </c>
      <c r="M26" s="57">
        <v>46145.0363214157</v>
      </c>
      <c r="N26" s="54">
        <v>23</v>
      </c>
      <c r="O26" s="54"/>
      <c r="P26" s="54"/>
      <c r="Q26" s="54"/>
      <c r="R26" s="54"/>
      <c r="S26" s="58"/>
      <c r="T26" s="58"/>
      <c r="U26" s="55">
        <v>10</v>
      </c>
      <c r="V26" s="55">
        <v>13</v>
      </c>
      <c r="W26" s="63"/>
      <c r="X26" s="63" t="s">
        <v>106</v>
      </c>
      <c r="Y26" s="69"/>
    </row>
    <row r="27" ht="15.75" spans="1:25">
      <c r="A27" s="60">
        <v>46132</v>
      </c>
      <c r="B27" s="61" t="s">
        <v>136</v>
      </c>
      <c r="C27" s="54" t="s">
        <v>137</v>
      </c>
      <c r="D27" s="55" t="s">
        <v>101</v>
      </c>
      <c r="E27" s="55" t="s">
        <v>131</v>
      </c>
      <c r="F27" s="55" t="s">
        <v>103</v>
      </c>
      <c r="G27" s="54" t="s">
        <v>104</v>
      </c>
      <c r="H27" s="55" t="s">
        <v>105</v>
      </c>
      <c r="I27" s="55" t="s">
        <v>96</v>
      </c>
      <c r="J27" s="55">
        <v>2.95</v>
      </c>
      <c r="K27" s="55">
        <v>1000</v>
      </c>
      <c r="L27" s="56">
        <v>120</v>
      </c>
      <c r="M27" s="57"/>
      <c r="N27" s="54"/>
      <c r="O27" s="54"/>
      <c r="P27" s="54"/>
      <c r="Q27" s="54"/>
      <c r="R27" s="54">
        <v>110.935</v>
      </c>
      <c r="S27" s="58">
        <v>110.935</v>
      </c>
      <c r="T27" s="68"/>
      <c r="U27" s="63">
        <v>7</v>
      </c>
      <c r="V27" s="63">
        <v>9</v>
      </c>
      <c r="W27" s="63"/>
      <c r="X27" s="63" t="s">
        <v>106</v>
      </c>
      <c r="Y27" s="69"/>
    </row>
    <row r="28" ht="15.75" spans="1:25">
      <c r="A28" s="60">
        <v>46132</v>
      </c>
      <c r="B28" s="61" t="s">
        <v>136</v>
      </c>
      <c r="C28" s="54" t="s">
        <v>138</v>
      </c>
      <c r="D28" s="55" t="s">
        <v>101</v>
      </c>
      <c r="E28" s="55" t="s">
        <v>131</v>
      </c>
      <c r="F28" s="55" t="s">
        <v>103</v>
      </c>
      <c r="G28" s="54" t="s">
        <v>104</v>
      </c>
      <c r="H28" s="55" t="s">
        <v>105</v>
      </c>
      <c r="I28" s="55" t="s">
        <v>96</v>
      </c>
      <c r="J28" s="55">
        <v>2.95</v>
      </c>
      <c r="K28" s="55">
        <v>1175</v>
      </c>
      <c r="L28" s="56">
        <v>80</v>
      </c>
      <c r="M28" s="57">
        <v>46149.0416467988</v>
      </c>
      <c r="N28" s="54">
        <v>77</v>
      </c>
      <c r="O28" s="54"/>
      <c r="P28" s="54"/>
      <c r="Q28" s="54"/>
      <c r="R28" s="54"/>
      <c r="S28" s="58"/>
      <c r="T28" s="68"/>
      <c r="U28" s="63">
        <v>7</v>
      </c>
      <c r="V28" s="63">
        <v>9</v>
      </c>
      <c r="W28" s="63"/>
      <c r="X28" s="63" t="s">
        <v>106</v>
      </c>
      <c r="Y28" s="69"/>
    </row>
    <row r="29" ht="15.75" spans="1:25">
      <c r="A29" s="60">
        <v>46135</v>
      </c>
      <c r="B29" s="61" t="s">
        <v>136</v>
      </c>
      <c r="C29" s="70" t="s">
        <v>139</v>
      </c>
      <c r="D29" s="71" t="s">
        <v>140</v>
      </c>
      <c r="E29" s="71" t="s">
        <v>141</v>
      </c>
      <c r="F29" s="71" t="s">
        <v>103</v>
      </c>
      <c r="G29" s="70" t="s">
        <v>104</v>
      </c>
      <c r="H29" s="71" t="s">
        <v>105</v>
      </c>
      <c r="I29" s="71" t="s">
        <v>96</v>
      </c>
      <c r="J29" s="71">
        <v>2</v>
      </c>
      <c r="K29" s="71">
        <v>1250</v>
      </c>
      <c r="L29" s="72">
        <v>50</v>
      </c>
      <c r="M29" s="65"/>
      <c r="N29" s="66"/>
      <c r="O29" s="66"/>
      <c r="P29" s="66"/>
      <c r="Q29" s="66"/>
      <c r="R29" s="66"/>
      <c r="S29" s="67"/>
      <c r="T29" s="68"/>
      <c r="U29" s="63">
        <v>7</v>
      </c>
      <c r="V29" s="63">
        <v>9</v>
      </c>
      <c r="W29" s="63"/>
      <c r="X29" s="63" t="s">
        <v>106</v>
      </c>
      <c r="Y29" s="69" t="s">
        <v>142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"/>
  <sheetViews>
    <sheetView workbookViewId="0">
      <selection activeCell="D7" sqref="D7"/>
    </sheetView>
  </sheetViews>
  <sheetFormatPr defaultColWidth="9" defaultRowHeight="13.5"/>
  <cols>
    <col min="3" max="3" width="11.4247787610619" customWidth="1"/>
    <col min="4" max="4" width="14.7433628318584" customWidth="1"/>
    <col min="11" max="11" width="10.1681415929204" customWidth="1"/>
  </cols>
  <sheetData>
    <row r="1" ht="15.75" spans="1:23">
      <c r="A1" t="s">
        <v>0</v>
      </c>
      <c r="B1" t="s">
        <v>143</v>
      </c>
      <c r="C1" s="1" t="s">
        <v>80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8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81</v>
      </c>
      <c r="R1" s="1" t="s">
        <v>82</v>
      </c>
      <c r="S1" s="1" t="s">
        <v>84</v>
      </c>
      <c r="T1" s="1" t="s">
        <v>156</v>
      </c>
      <c r="U1" s="1" t="s">
        <v>157</v>
      </c>
      <c r="V1" s="1" t="s">
        <v>158</v>
      </c>
      <c r="W1" s="1" t="s">
        <v>159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期货排程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77188</dc:creator>
  <cp:lastModifiedBy>「H_sx</cp:lastModifiedBy>
  <dcterms:created xsi:type="dcterms:W3CDTF">2023-05-12T11:15:00Z</dcterms:created>
  <dcterms:modified xsi:type="dcterms:W3CDTF">2026-04-29T05:35:23Z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F902A584543846A3890DD1B9236F0214_12</vt:lpwstr>
  </property>
  <property fmtid="{D5CDD505-2E9C-101B-9397-08002B2CF9AE}" pid="4" name="CalculationRule">
    <vt:i4>0</vt:i4>
  </property>
</Properties>
</file>